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khil Singh\Downloads\"/>
    </mc:Choice>
  </mc:AlternateContent>
  <xr:revisionPtr revIDLastSave="0" documentId="8_{11A2EB26-80C8-4275-8B36-194EA69E6BE1}" xr6:coauthVersionLast="47" xr6:coauthVersionMax="47" xr10:uidLastSave="{00000000-0000-0000-0000-000000000000}"/>
  <bookViews>
    <workbookView xWindow="-108" yWindow="-108" windowWidth="23256" windowHeight="12456" xr2:uid="{A272CF56-FB72-4207-96DE-7C74A7CA2210}"/>
  </bookViews>
  <sheets>
    <sheet name="DashBoard" sheetId="1" r:id="rId1"/>
    <sheet name="API_DATA" sheetId="6" r:id="rId2"/>
    <sheet name="Channel_Data" sheetId="2" r:id="rId3"/>
    <sheet name="Video_Data" sheetId="7" r:id="rId4"/>
    <sheet name="Growth_data" sheetId="4" r:id="rId5"/>
    <sheet name="Settings" sheetId="5" r:id="rId6"/>
  </sheets>
  <definedNames>
    <definedName name="ExternalData_1" localSheetId="1" hidden="1">API_DATA!$A$1:$B$5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4" l="1"/>
  <c r="F8" i="4"/>
  <c r="F7" i="4"/>
  <c r="E7" i="4"/>
  <c r="F6" i="4"/>
  <c r="E6" i="4"/>
  <c r="I3" i="1"/>
  <c r="E15" i="1" a="1"/>
  <c r="E15" i="1" s="1"/>
  <c r="F4" i="4"/>
  <c r="E5" i="4"/>
  <c r="E4" i="4"/>
  <c r="F5" i="4"/>
  <c r="B7" i="2"/>
  <c r="B6" i="2"/>
  <c r="B5" i="2"/>
  <c r="B8" i="2"/>
  <c r="B4" i="2"/>
  <c r="M15" i="1"/>
  <c r="N4" i="1"/>
  <c r="E3" i="1"/>
  <c r="A3" i="1"/>
  <c r="A15" i="1" l="1" a="1"/>
  <c r="A15" i="1" s="1"/>
  <c r="I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F1C570-0C9F-4778-907B-6B985F0C5A2A}" keepAlive="1" name="Query - API_Data" description="Connection to the 'API_Data' query in the workbook." type="5" refreshedVersion="8" background="1" saveData="1">
    <dbPr connection="Provider=Microsoft.Mashup.OleDb.1;Data Source=$Workbook$;Location=API_Data;Extended Properties=&quot;&quot;" command="SELECT * FROM [API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<sst xmlns="http://schemas.openxmlformats.org/spreadsheetml/2006/main" count="43" uniqueCount="38">
  <si>
    <t>Channel ID</t>
  </si>
  <si>
    <t>API Key</t>
  </si>
  <si>
    <t>Last Refresh</t>
  </si>
  <si>
    <t>AIzaSyAjamHIcOPVKhXmsmiNpB-ZB4658-xrfCE</t>
  </si>
  <si>
    <t>Subscribers</t>
  </si>
  <si>
    <t>Views</t>
  </si>
  <si>
    <t>Videos</t>
  </si>
  <si>
    <t>Value</t>
  </si>
  <si>
    <t>UCkX5gDlGK4cx-JX9NLXN0Xw</t>
  </si>
  <si>
    <t>Name</t>
  </si>
  <si>
    <t>viewCount</t>
  </si>
  <si>
    <t>subscriberCount</t>
  </si>
  <si>
    <t>hiddenSubscriberCount</t>
  </si>
  <si>
    <t>videoCount</t>
  </si>
  <si>
    <t>Live Count</t>
  </si>
  <si>
    <t>Total Views</t>
  </si>
  <si>
    <t>Total Uploads</t>
  </si>
  <si>
    <t>Last Updated:</t>
  </si>
  <si>
    <t>Date</t>
  </si>
  <si>
    <t>Channel Name</t>
  </si>
  <si>
    <t>Channel Link</t>
  </si>
  <si>
    <t>Open Studio</t>
  </si>
  <si>
    <t>Giggle Route</t>
  </si>
  <si>
    <t>Channel Information</t>
  </si>
  <si>
    <t>Subscribers Gain</t>
  </si>
  <si>
    <t>Views Gain</t>
  </si>
  <si>
    <t>YouTube_Analytics_Live_DashBoard</t>
  </si>
  <si>
    <t>Video ID</t>
  </si>
  <si>
    <t>Title</t>
  </si>
  <si>
    <t>Published Date</t>
  </si>
  <si>
    <t xml:space="preserve">Views </t>
  </si>
  <si>
    <t>Like</t>
  </si>
  <si>
    <t>Comment</t>
  </si>
  <si>
    <t>Duration</t>
  </si>
  <si>
    <t>Thumbnail</t>
  </si>
  <si>
    <t>282847</t>
  </si>
  <si>
    <t>419</t>
  </si>
  <si>
    <t>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</si>
</sst>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Bahnschrift"/>
      <family val="2"/>
    </font>
    <font>
      <sz val="11"/>
      <color theme="1"/>
      <name val="Bahnschrift"/>
      <family val="2"/>
    </font>
    <font>
      <sz val="20"/>
      <color theme="0"/>
      <name val="Arial Black"/>
      <family val="2"/>
    </font>
    <font>
      <sz val="20"/>
      <color theme="1"/>
      <name val="Aptos Narrow"/>
      <family val="2"/>
      <scheme val="minor"/>
    </font>
    <font>
      <b/>
      <sz val="20"/>
      <color theme="1"/>
      <name val="Arial"/>
      <family val="2"/>
    </font>
    <font>
      <u/>
      <sz val="20"/>
      <color theme="10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sz val="16"/>
      <color theme="1"/>
      <name val="Calibri"/>
      <family val="2"/>
    </font>
    <font>
      <sz val="18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2">
    <xf numFmtId="0" fontId="0" fillId="0" borderId="0" xfId="0"/>
    <xf numFmtId="3" fontId="0" fillId="0" borderId="0" xfId="0" applyNumberFormat="1"/>
    <xf numFmtId="0" fontId="6" fillId="0" borderId="0" xfId="0" applyFont="1"/>
    <xf numFmtId="22" fontId="6" fillId="0" borderId="0" xfId="0" applyNumberFormat="1" applyFont="1"/>
    <xf numFmtId="3" fontId="0" fillId="0" borderId="0" xfId="0" applyNumberFormat="1" applyAlignment="1">
      <alignment horizontal="center"/>
    </xf>
    <xf numFmtId="0" fontId="3" fillId="5" borderId="3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/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3" fontId="11" fillId="11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3" fontId="7" fillId="0" borderId="1" xfId="0" applyNumberFormat="1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4" xfId="0" applyFont="1" applyBorder="1"/>
    <xf numFmtId="0" fontId="16" fillId="0" borderId="6" xfId="0" applyFont="1" applyBorder="1" applyAlignment="1">
      <alignment horizontal="center"/>
    </xf>
    <xf numFmtId="3" fontId="16" fillId="0" borderId="2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14" fontId="7" fillId="7" borderId="1" xfId="0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3" fontId="7" fillId="3" borderId="1" xfId="0" applyNumberFormat="1" applyFont="1" applyFill="1" applyBorder="1" applyAlignment="1">
      <alignment horizontal="center"/>
    </xf>
    <xf numFmtId="0" fontId="7" fillId="12" borderId="1" xfId="0" applyFont="1" applyFill="1" applyBorder="1" applyAlignment="1">
      <alignment horizontal="center"/>
    </xf>
    <xf numFmtId="0" fontId="7" fillId="13" borderId="1" xfId="0" applyFont="1" applyFill="1" applyBorder="1" applyAlignment="1">
      <alignment horizontal="center"/>
    </xf>
    <xf numFmtId="0" fontId="7" fillId="11" borderId="1" xfId="0" applyFont="1" applyFill="1" applyBorder="1" applyAlignment="1">
      <alignment horizontal="center"/>
    </xf>
    <xf numFmtId="3" fontId="7" fillId="11" borderId="1" xfId="0" applyNumberFormat="1" applyFont="1" applyFill="1" applyBorder="1" applyAlignment="1">
      <alignment horizontal="center"/>
    </xf>
    <xf numFmtId="0" fontId="7" fillId="14" borderId="1" xfId="0" applyFont="1" applyFill="1" applyBorder="1"/>
    <xf numFmtId="0" fontId="14" fillId="15" borderId="1" xfId="1" applyFont="1" applyFill="1" applyBorder="1" applyAlignment="1">
      <alignment horizontal="center"/>
    </xf>
    <xf numFmtId="0" fontId="15" fillId="15" borderId="1" xfId="0" applyFont="1" applyFill="1" applyBorder="1" applyAlignment="1">
      <alignment vertical="center"/>
    </xf>
    <xf numFmtId="22" fontId="7" fillId="15" borderId="1" xfId="0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3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0" fontId="8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0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6"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es/youtube-rojo-social-icono-jugar-1495277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2</xdr:row>
      <xdr:rowOff>30480</xdr:rowOff>
    </xdr:from>
    <xdr:to>
      <xdr:col>2</xdr:col>
      <xdr:colOff>701040</xdr:colOff>
      <xdr:row>6</xdr:row>
      <xdr:rowOff>68580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769A8044-CCEB-2E53-2EF7-BA1B45B9D0A9}"/>
            </a:ext>
          </a:extLst>
        </xdr:cNvPr>
        <xdr:cNvSpPr/>
      </xdr:nvSpPr>
      <xdr:spPr>
        <a:xfrm>
          <a:off x="106680" y="541020"/>
          <a:ext cx="2087880" cy="769620"/>
        </a:xfrm>
        <a:prstGeom prst="ellipse">
          <a:avLst/>
        </a:prstGeom>
        <a:solidFill>
          <a:schemeClr val="tx2">
            <a:lumMod val="50000"/>
            <a:lumOff val="50000"/>
          </a:schemeClr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latin typeface="Algerian" panose="04020705040A02060702" pitchFamily="82" charset="0"/>
            </a:rPr>
            <a:t>Subscribers</a:t>
          </a:r>
        </a:p>
      </xdr:txBody>
    </xdr:sp>
    <xdr:clientData/>
  </xdr:twoCellAnchor>
  <xdr:twoCellAnchor>
    <xdr:from>
      <xdr:col>4</xdr:col>
      <xdr:colOff>137160</xdr:colOff>
      <xdr:row>2</xdr:row>
      <xdr:rowOff>60960</xdr:rowOff>
    </xdr:from>
    <xdr:to>
      <xdr:col>6</xdr:col>
      <xdr:colOff>640080</xdr:colOff>
      <xdr:row>6</xdr:row>
      <xdr:rowOff>22860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1FD61B51-37D4-476F-98FB-6EAE436AF055}"/>
            </a:ext>
          </a:extLst>
        </xdr:cNvPr>
        <xdr:cNvSpPr/>
      </xdr:nvSpPr>
      <xdr:spPr>
        <a:xfrm>
          <a:off x="3909060" y="571500"/>
          <a:ext cx="2103120" cy="693420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Views</a:t>
          </a:r>
        </a:p>
      </xdr:txBody>
    </xdr:sp>
    <xdr:clientData/>
  </xdr:twoCellAnchor>
  <xdr:twoCellAnchor>
    <xdr:from>
      <xdr:col>8</xdr:col>
      <xdr:colOff>304800</xdr:colOff>
      <xdr:row>1</xdr:row>
      <xdr:rowOff>167640</xdr:rowOff>
    </xdr:from>
    <xdr:to>
      <xdr:col>10</xdr:col>
      <xdr:colOff>381000</xdr:colOff>
      <xdr:row>6</xdr:row>
      <xdr:rowOff>38100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D00087F9-D87E-419E-801D-03FD1BF90CAC}"/>
            </a:ext>
          </a:extLst>
        </xdr:cNvPr>
        <xdr:cNvSpPr/>
      </xdr:nvSpPr>
      <xdr:spPr>
        <a:xfrm>
          <a:off x="7170420" y="495300"/>
          <a:ext cx="2682240" cy="784860"/>
        </a:xfrm>
        <a:prstGeom prst="ellipse">
          <a:avLst/>
        </a:prstGeom>
        <a:solidFill>
          <a:schemeClr val="accent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Algerian" panose="04020705040A02060702" pitchFamily="82" charset="0"/>
            </a:rPr>
            <a:t>Videos</a:t>
          </a:r>
        </a:p>
      </xdr:txBody>
    </xdr:sp>
    <xdr:clientData/>
  </xdr:twoCellAnchor>
  <xdr:twoCellAnchor>
    <xdr:from>
      <xdr:col>12</xdr:col>
      <xdr:colOff>106680</xdr:colOff>
      <xdr:row>0</xdr:row>
      <xdr:rowOff>15240</xdr:rowOff>
    </xdr:from>
    <xdr:to>
      <xdr:col>14</xdr:col>
      <xdr:colOff>121920</xdr:colOff>
      <xdr:row>2</xdr:row>
      <xdr:rowOff>22860</xdr:rowOff>
    </xdr:to>
    <xdr:sp macro="[0]!RefreshAndSav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D5B514-1C92-92E0-122C-DD224094AA49}"/>
            </a:ext>
          </a:extLst>
        </xdr:cNvPr>
        <xdr:cNvSpPr/>
      </xdr:nvSpPr>
      <xdr:spPr>
        <a:xfrm>
          <a:off x="11071860" y="15240"/>
          <a:ext cx="2339340" cy="518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🔄️Refresh Data</a:t>
          </a:r>
        </a:p>
      </xdr:txBody>
    </xdr:sp>
    <xdr:clientData/>
  </xdr:twoCellAnchor>
  <xdr:twoCellAnchor>
    <xdr:from>
      <xdr:col>0</xdr:col>
      <xdr:colOff>167640</xdr:colOff>
      <xdr:row>11</xdr:row>
      <xdr:rowOff>15240</xdr:rowOff>
    </xdr:from>
    <xdr:to>
      <xdr:col>2</xdr:col>
      <xdr:colOff>281940</xdr:colOff>
      <xdr:row>13</xdr:row>
      <xdr:rowOff>144780</xdr:rowOff>
    </xdr:to>
    <xdr:sp macro="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935A2B04-6582-7C20-F21E-03A382584948}"/>
            </a:ext>
          </a:extLst>
        </xdr:cNvPr>
        <xdr:cNvSpPr/>
      </xdr:nvSpPr>
      <xdr:spPr>
        <a:xfrm>
          <a:off x="167640" y="2263140"/>
          <a:ext cx="2392680" cy="541020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2"/>
              </a:solidFill>
              <a:latin typeface="Arial Narrow" panose="020B0606020202030204" pitchFamily="34" charset="0"/>
            </a:rPr>
            <a:t>Daily Subscribers</a:t>
          </a:r>
        </a:p>
      </xdr:txBody>
    </xdr:sp>
    <xdr:clientData/>
  </xdr:twoCellAnchor>
  <xdr:twoCellAnchor>
    <xdr:from>
      <xdr:col>4</xdr:col>
      <xdr:colOff>114300</xdr:colOff>
      <xdr:row>11</xdr:row>
      <xdr:rowOff>15240</xdr:rowOff>
    </xdr:from>
    <xdr:to>
      <xdr:col>6</xdr:col>
      <xdr:colOff>678180</xdr:colOff>
      <xdr:row>13</xdr:row>
      <xdr:rowOff>144780</xdr:rowOff>
    </xdr:to>
    <xdr:sp macro="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9E856CE3-65B3-4B62-8BFB-9EDA801A3D4D}"/>
            </a:ext>
          </a:extLst>
        </xdr:cNvPr>
        <xdr:cNvSpPr/>
      </xdr:nvSpPr>
      <xdr:spPr>
        <a:xfrm>
          <a:off x="3886200" y="2263140"/>
          <a:ext cx="2164080" cy="541020"/>
        </a:xfrm>
        <a:prstGeom prst="flowChartAlternateProcess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>
                  <a:lumMod val="95000"/>
                  <a:lumOff val="5000"/>
                </a:schemeClr>
              </a:solidFill>
              <a:latin typeface="Arial Narrow" panose="020B0606020202030204" pitchFamily="34" charset="0"/>
            </a:rPr>
            <a:t>Daily Views</a:t>
          </a:r>
        </a:p>
      </xdr:txBody>
    </xdr:sp>
    <xdr:clientData/>
  </xdr:twoCellAnchor>
  <xdr:twoCellAnchor>
    <xdr:from>
      <xdr:col>8</xdr:col>
      <xdr:colOff>205740</xdr:colOff>
      <xdr:row>11</xdr:row>
      <xdr:rowOff>0</xdr:rowOff>
    </xdr:from>
    <xdr:to>
      <xdr:col>10</xdr:col>
      <xdr:colOff>297180</xdr:colOff>
      <xdr:row>13</xdr:row>
      <xdr:rowOff>129540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9B1303AC-569A-46D8-B61D-5A97B566E469}"/>
            </a:ext>
          </a:extLst>
        </xdr:cNvPr>
        <xdr:cNvSpPr/>
      </xdr:nvSpPr>
      <xdr:spPr>
        <a:xfrm>
          <a:off x="7071360" y="2247900"/>
          <a:ext cx="2697480" cy="541020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2"/>
              </a:solidFill>
              <a:latin typeface="Arial Narrow" panose="020B0606020202030204" pitchFamily="34" charset="0"/>
            </a:rPr>
            <a:t>Average</a:t>
          </a:r>
          <a:r>
            <a:rPr lang="en-US" sz="1400" baseline="0">
              <a:solidFill>
                <a:schemeClr val="tx2"/>
              </a:solidFill>
              <a:latin typeface="Arial Narrow" panose="020B0606020202030204" pitchFamily="34" charset="0"/>
            </a:rPr>
            <a:t> Views per Video</a:t>
          </a:r>
          <a:endParaRPr lang="en-US" sz="1400">
            <a:solidFill>
              <a:schemeClr val="tx2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624301</xdr:colOff>
      <xdr:row>0</xdr:row>
      <xdr:rowOff>69979</xdr:rowOff>
    </xdr:from>
    <xdr:to>
      <xdr:col>2</xdr:col>
      <xdr:colOff>500896</xdr:colOff>
      <xdr:row>1</xdr:row>
      <xdr:rowOff>163285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F0D3289-42D9-ED03-C62C-B45B41C8A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922811" y="69979"/>
          <a:ext cx="856309" cy="419877"/>
        </a:xfrm>
        <a:prstGeom prst="rect">
          <a:avLst/>
        </a:prstGeom>
      </xdr:spPr>
    </xdr:pic>
    <xdr:clientData/>
  </xdr:twoCellAnchor>
  <xdr:twoCellAnchor>
    <xdr:from>
      <xdr:col>12</xdr:col>
      <xdr:colOff>202163</xdr:colOff>
      <xdr:row>11</xdr:row>
      <xdr:rowOff>0</xdr:rowOff>
    </xdr:from>
    <xdr:to>
      <xdr:col>13</xdr:col>
      <xdr:colOff>925286</xdr:colOff>
      <xdr:row>13</xdr:row>
      <xdr:rowOff>129540</xdr:rowOff>
    </xdr:to>
    <xdr:sp macro="" textlink="">
      <xdr:nvSpPr>
        <xdr:cNvPr id="12" name="Flowchart: Alternate Process 11">
          <a:extLst>
            <a:ext uri="{FF2B5EF4-FFF2-40B4-BE49-F238E27FC236}">
              <a16:creationId xmlns:a16="http://schemas.microsoft.com/office/drawing/2014/main" id="{652806AA-B70D-4A59-90CC-0EAE4D04CA61}"/>
            </a:ext>
          </a:extLst>
        </xdr:cNvPr>
        <xdr:cNvSpPr/>
      </xdr:nvSpPr>
      <xdr:spPr>
        <a:xfrm>
          <a:off x="11165632" y="2270449"/>
          <a:ext cx="1772817" cy="541642"/>
        </a:xfrm>
        <a:prstGeom prst="flowChartAlternateProcess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2"/>
              </a:solidFill>
              <a:latin typeface="Arial Narrow" panose="020B0606020202030204" pitchFamily="34" charset="0"/>
            </a:rPr>
            <a:t>Report</a:t>
          </a:r>
          <a:r>
            <a:rPr lang="en-US" sz="1400" baseline="0">
              <a:solidFill>
                <a:schemeClr val="tx2"/>
              </a:solidFill>
              <a:latin typeface="Arial Narrow" panose="020B0606020202030204" pitchFamily="34" charset="0"/>
            </a:rPr>
            <a:t> Date</a:t>
          </a:r>
          <a:endParaRPr lang="en-US" sz="1400">
            <a:solidFill>
              <a:schemeClr val="tx2"/>
            </a:solidFill>
            <a:latin typeface="Arial Narrow" panose="020B060602020203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440840A-726B-4E5F-AAB6-1B95A034BB5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35AB45-0CBB-47DB-9FAF-5B4748CB55B7}" name="API_Data" displayName="API_Data" ref="A1:B5" tableType="queryTable" totalsRowShown="0" headerRowDxfId="15" dataDxfId="13" headerRowBorderDxfId="14" tableBorderDxfId="12" totalsRowBorderDxfId="11">
  <autoFilter ref="A1:B5" xr:uid="{2F35AB45-0CBB-47DB-9FAF-5B4748CB55B7}"/>
  <tableColumns count="2">
    <tableColumn id="1" xr3:uid="{0953CF6E-87E4-4603-98BF-5AF457110DFD}" uniqueName="1" name="Name" queryTableFieldId="1" dataDxfId="1"/>
    <tableColumn id="2" xr3:uid="{B276D395-2744-4D02-A6E3-40EFF97EE3E1}" uniqueName="2" name="Value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5CD860-C652-4D1F-81B2-6EC0C1631767}" name="Table5" displayName="Table5" ref="A1:F2" insertRow="1" insertRowShift="1" totalsRowShown="0" headerRowDxfId="10" dataDxfId="8" headerRowBorderDxfId="9">
  <autoFilter ref="A1:F2" xr:uid="{CE5CD860-C652-4D1F-81B2-6EC0C1631767}"/>
  <tableColumns count="6">
    <tableColumn id="1" xr3:uid="{CBB67CA4-0639-4D09-B0A5-12DB3D6790D1}" name="Date" dataDxfId="7"/>
    <tableColumn id="2" xr3:uid="{E6AFCD07-5979-4114-98F2-5621A1D9B90C}" name="Subscribers" dataDxfId="6"/>
    <tableColumn id="3" xr3:uid="{EFB1CF9D-1EE9-4207-A14E-8A8B1DA66623}" name="Views" dataDxfId="5"/>
    <tableColumn id="4" xr3:uid="{05B198C3-890B-4C89-8206-0572C3267BCD}" name="Videos" dataDxfId="4"/>
    <tableColumn id="5" xr3:uid="{E80522B9-2DEE-43E2-BC84-698D7B3BFA67}" name="Subscribers Gain" dataDxfId="3"/>
    <tableColumn id="6" xr3:uid="{6F0A76A6-2C25-4E73-973D-E21A359642AB}" name="Views Gai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@Giggleroute24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channel/UCkX5gDlGK4cx-JX9NLXN0X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B217-C6F5-41E0-9780-1748EF399796}">
  <sheetPr codeName="Sheet1"/>
  <dimension ref="A1:O15"/>
  <sheetViews>
    <sheetView tabSelected="1" zoomScale="98" workbookViewId="0">
      <selection activeCell="D13" sqref="D13"/>
    </sheetView>
  </sheetViews>
  <sheetFormatPr defaultColWidth="10.88671875" defaultRowHeight="14.4" x14ac:dyDescent="0.3"/>
  <cols>
    <col min="1" max="1" width="18.88671875" bestFit="1" customWidth="1"/>
    <col min="2" max="2" width="14.33203125" bestFit="1" customWidth="1"/>
    <col min="5" max="5" width="12.44140625" bestFit="1" customWidth="1"/>
    <col min="9" max="9" width="27.109375" bestFit="1" customWidth="1"/>
    <col min="13" max="13" width="15.6640625" bestFit="1" customWidth="1"/>
    <col min="14" max="14" width="18.88671875" bestFit="1" customWidth="1"/>
    <col min="15" max="15" width="18.5546875" bestFit="1" customWidth="1"/>
  </cols>
  <sheetData>
    <row r="1" spans="1:15" ht="25.8" customHeight="1" x14ac:dyDescent="0.3">
      <c r="A1" s="36" t="s">
        <v>26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7"/>
      <c r="M1" s="38"/>
      <c r="N1" s="5"/>
      <c r="O1" s="38"/>
    </row>
    <row r="2" spans="1:15" ht="14.4" customHeight="1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7"/>
      <c r="M2" s="38"/>
      <c r="N2" s="5"/>
      <c r="O2" s="38"/>
    </row>
    <row r="3" spans="1:15" ht="14.4" customHeight="1" x14ac:dyDescent="0.3">
      <c r="A3" s="47" t="str">
        <f>_xlfn.XLOOKUP("subscriberCount",API_DATA!A:A,API_DATA!B:B)</f>
        <v>419</v>
      </c>
      <c r="B3" s="47"/>
      <c r="C3" s="47"/>
      <c r="E3" s="48" t="str">
        <f>TEXT(_xlfn.XLOOKUP("viewCount",API_DATA!A:A,API_DATA!B:B),"#,##0")</f>
        <v>282,847</v>
      </c>
      <c r="F3" s="48"/>
      <c r="G3" s="48"/>
      <c r="I3" s="49" t="str">
        <f>_xlfn.XLOOKUP("videocount",API_DATA!A:A,API_DATA!B:B)</f>
        <v>193</v>
      </c>
      <c r="J3" s="49"/>
      <c r="K3" s="49"/>
    </row>
    <row r="4" spans="1:15" ht="14.4" customHeight="1" x14ac:dyDescent="0.35">
      <c r="A4" s="47"/>
      <c r="B4" s="47"/>
      <c r="C4" s="47"/>
      <c r="E4" s="48"/>
      <c r="F4" s="48"/>
      <c r="G4" s="48"/>
      <c r="I4" s="49"/>
      <c r="J4" s="49"/>
      <c r="K4" s="49"/>
      <c r="M4" s="2" t="s">
        <v>17</v>
      </c>
      <c r="N4" s="3">
        <f ca="1">NOW()</f>
        <v>46296.86906099537</v>
      </c>
    </row>
    <row r="5" spans="1:15" ht="14.4" customHeight="1" x14ac:dyDescent="0.3">
      <c r="A5" s="47"/>
      <c r="B5" s="47"/>
      <c r="C5" s="47"/>
      <c r="E5" s="48"/>
      <c r="F5" s="48"/>
      <c r="G5" s="48"/>
      <c r="I5" s="49"/>
      <c r="J5" s="49"/>
      <c r="K5" s="49"/>
    </row>
    <row r="6" spans="1:15" ht="14.4" customHeight="1" x14ac:dyDescent="0.3">
      <c r="A6" s="47"/>
      <c r="B6" s="47"/>
      <c r="C6" s="47"/>
      <c r="E6" s="48"/>
      <c r="F6" s="48"/>
      <c r="G6" s="48"/>
      <c r="I6" s="49"/>
      <c r="J6" s="49"/>
      <c r="K6" s="49"/>
    </row>
    <row r="7" spans="1:15" x14ac:dyDescent="0.3">
      <c r="A7" s="47"/>
      <c r="B7" s="47"/>
      <c r="C7" s="47"/>
      <c r="E7" s="48"/>
      <c r="F7" s="48"/>
      <c r="G7" s="48"/>
      <c r="I7" s="49"/>
      <c r="J7" s="49"/>
      <c r="K7" s="49"/>
    </row>
    <row r="8" spans="1:15" x14ac:dyDescent="0.3">
      <c r="A8" s="47"/>
      <c r="B8" s="47"/>
      <c r="C8" s="47"/>
      <c r="E8" s="48"/>
      <c r="F8" s="48"/>
      <c r="G8" s="48"/>
      <c r="I8" s="49"/>
      <c r="J8" s="49"/>
      <c r="K8" s="49"/>
    </row>
    <row r="9" spans="1:15" ht="18" customHeight="1" x14ac:dyDescent="0.3">
      <c r="A9" s="42" t="s">
        <v>14</v>
      </c>
      <c r="B9" s="42"/>
      <c r="C9" s="42"/>
      <c r="E9" s="43" t="s">
        <v>15</v>
      </c>
      <c r="F9" s="44"/>
      <c r="G9" s="44"/>
      <c r="I9" s="45" t="s">
        <v>16</v>
      </c>
      <c r="J9" s="46"/>
      <c r="K9" s="46"/>
    </row>
    <row r="10" spans="1:15" ht="18" customHeight="1" x14ac:dyDescent="0.3">
      <c r="A10" s="42"/>
      <c r="B10" s="42"/>
      <c r="C10" s="42"/>
      <c r="E10" s="44"/>
      <c r="F10" s="44"/>
      <c r="G10" s="44"/>
      <c r="I10" s="46"/>
      <c r="J10" s="46"/>
      <c r="K10" s="46"/>
    </row>
    <row r="12" spans="1:15" ht="18" x14ac:dyDescent="0.35">
      <c r="A12" s="2"/>
      <c r="E12" s="2"/>
      <c r="I12" s="2"/>
    </row>
    <row r="13" spans="1:15" x14ac:dyDescent="0.3">
      <c r="E13" s="1"/>
      <c r="I13" s="4"/>
    </row>
    <row r="15" spans="1:15" s="7" customFormat="1" ht="21" x14ac:dyDescent="0.4">
      <c r="A15" s="40" cm="1">
        <f t="array" ref="A15">LOOKUP(2,1/(Growth_data!E:E&lt;&gt;""),Growth_data!E:E)</f>
        <v>28</v>
      </c>
      <c r="B15" s="40"/>
      <c r="C15" s="40"/>
      <c r="E15" s="39" cm="1">
        <f t="array" ref="E15">LOOKUP(2,1/(Growth_data!F:F&lt;&gt;""),Growth_data!F:F)</f>
        <v>9419</v>
      </c>
      <c r="F15" s="39"/>
      <c r="G15" s="39"/>
      <c r="I15" s="39">
        <f>ROUND(E3/I3,0)</f>
        <v>1466</v>
      </c>
      <c r="J15" s="39"/>
      <c r="K15" s="39"/>
      <c r="M15" s="41">
        <f ca="1">TODAY()</f>
        <v>46296</v>
      </c>
      <c r="N15" s="40"/>
    </row>
  </sheetData>
  <mergeCells count="13">
    <mergeCell ref="A1:L2"/>
    <mergeCell ref="M1:M2"/>
    <mergeCell ref="O1:O2"/>
    <mergeCell ref="I15:K15"/>
    <mergeCell ref="E15:G15"/>
    <mergeCell ref="A15:C15"/>
    <mergeCell ref="M15:N15"/>
    <mergeCell ref="A9:C10"/>
    <mergeCell ref="E9:G10"/>
    <mergeCell ref="I9:K10"/>
    <mergeCell ref="A3:C8"/>
    <mergeCell ref="E3:G8"/>
    <mergeCell ref="I3:K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364E-7927-4D8D-A8A9-3D5129E93F77}">
  <sheetPr codeName="Sheet2"/>
  <dimension ref="A1:B5"/>
  <sheetViews>
    <sheetView workbookViewId="0">
      <selection activeCell="A2" sqref="A2:B5"/>
    </sheetView>
  </sheetViews>
  <sheetFormatPr defaultRowHeight="14.4" x14ac:dyDescent="0.3"/>
  <cols>
    <col min="1" max="1" width="33.21875" bestFit="1" customWidth="1"/>
    <col min="2" max="2" width="11.21875" bestFit="1" customWidth="1"/>
  </cols>
  <sheetData>
    <row r="1" spans="1:2" ht="23.4" x14ac:dyDescent="0.45">
      <c r="A1" s="15" t="s">
        <v>9</v>
      </c>
      <c r="B1" s="16" t="s">
        <v>7</v>
      </c>
    </row>
    <row r="2" spans="1:2" ht="23.4" x14ac:dyDescent="0.45">
      <c r="A2" s="17" t="s">
        <v>10</v>
      </c>
      <c r="B2" s="18" t="s">
        <v>35</v>
      </c>
    </row>
    <row r="3" spans="1:2" ht="23.4" x14ac:dyDescent="0.45">
      <c r="A3" s="17" t="s">
        <v>11</v>
      </c>
      <c r="B3" s="19" t="s">
        <v>36</v>
      </c>
    </row>
    <row r="4" spans="1:2" ht="23.4" x14ac:dyDescent="0.45">
      <c r="A4" s="17" t="s">
        <v>12</v>
      </c>
      <c r="B4" s="19" t="b">
        <v>0</v>
      </c>
    </row>
    <row r="5" spans="1:2" ht="23.4" x14ac:dyDescent="0.45">
      <c r="A5" s="20" t="s">
        <v>13</v>
      </c>
      <c r="B5" s="21" t="s">
        <v>37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CCBA0-0297-4A78-8E1A-56561CCCBC58}">
  <sheetPr codeName="Sheet3"/>
  <dimension ref="A1:B8"/>
  <sheetViews>
    <sheetView workbookViewId="0">
      <selection activeCell="F4" sqref="F4"/>
    </sheetView>
  </sheetViews>
  <sheetFormatPr defaultRowHeight="14.4" x14ac:dyDescent="0.3"/>
  <cols>
    <col min="1" max="1" width="27" style="6" bestFit="1" customWidth="1"/>
    <col min="2" max="2" width="47.109375" style="6" bestFit="1" customWidth="1"/>
    <col min="3" max="16384" width="8.88671875" style="6"/>
  </cols>
  <sheetData>
    <row r="1" spans="1:2" ht="30" x14ac:dyDescent="0.3">
      <c r="A1" s="50" t="s">
        <v>23</v>
      </c>
      <c r="B1" s="51"/>
    </row>
    <row r="2" spans="1:2" ht="25.8" x14ac:dyDescent="0.3">
      <c r="A2" s="8" t="s">
        <v>19</v>
      </c>
      <c r="B2" s="35" t="s">
        <v>22</v>
      </c>
    </row>
    <row r="3" spans="1:2" ht="25.8" x14ac:dyDescent="0.3">
      <c r="A3" s="8" t="s">
        <v>0</v>
      </c>
      <c r="B3" s="35" t="s">
        <v>8</v>
      </c>
    </row>
    <row r="4" spans="1:2" ht="25.8" x14ac:dyDescent="0.3">
      <c r="A4" s="8" t="s">
        <v>20</v>
      </c>
      <c r="B4" s="34" t="str">
        <f>HYPERLINK("https://www.youtube.com/@Giggleroute24","Visit Channel")</f>
        <v>Visit Channel</v>
      </c>
    </row>
    <row r="5" spans="1:2" ht="25.8" x14ac:dyDescent="0.3">
      <c r="A5" s="9" t="s">
        <v>4</v>
      </c>
      <c r="B5" s="10" t="str">
        <f>INDEX(API_DATA!B:B,MATCH("subscriberCount",API_DATA!A:A,0))</f>
        <v>419</v>
      </c>
    </row>
    <row r="6" spans="1:2" ht="25.8" x14ac:dyDescent="0.3">
      <c r="A6" s="9" t="s">
        <v>5</v>
      </c>
      <c r="B6" s="11" t="str">
        <f>INDEX(API_DATA!B:B,MATCH("viewCount",API_DATA!A:A,0))</f>
        <v>282847</v>
      </c>
    </row>
    <row r="7" spans="1:2" ht="25.8" x14ac:dyDescent="0.3">
      <c r="A7" s="9" t="s">
        <v>6</v>
      </c>
      <c r="B7" s="10" t="str">
        <f>INDEX(API_DATA!B:B,MATCH("videoCount",API_DATA!A:A,0))</f>
        <v>193</v>
      </c>
    </row>
    <row r="8" spans="1:2" ht="25.8" x14ac:dyDescent="0.3">
      <c r="A8" s="8" t="s">
        <v>21</v>
      </c>
      <c r="B8" s="34" t="str">
        <f>HYPERLINK("https://studio.youtube.com","Open Studio")</f>
        <v>Open Studio</v>
      </c>
    </row>
  </sheetData>
  <mergeCells count="1">
    <mergeCell ref="A1:B1"/>
  </mergeCells>
  <hyperlinks>
    <hyperlink ref="B4" r:id="rId1" display="https://www.youtube.com/@Giggleroute24" xr:uid="{4F11CE7E-C823-4FA8-ADAA-090473BCE8E5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6678-E844-4039-9380-0CB982081151}">
  <dimension ref="A1:H1"/>
  <sheetViews>
    <sheetView workbookViewId="0">
      <selection activeCell="D4" sqref="D4"/>
    </sheetView>
  </sheetViews>
  <sheetFormatPr defaultRowHeight="14.4" x14ac:dyDescent="0.3"/>
  <cols>
    <col min="1" max="1" width="7.5546875" bestFit="1" customWidth="1"/>
    <col min="2" max="2" width="4.33203125" bestFit="1" customWidth="1"/>
    <col min="3" max="3" width="13.109375" bestFit="1" customWidth="1"/>
    <col min="4" max="4" width="6.109375" bestFit="1" customWidth="1"/>
    <col min="5" max="5" width="4.21875" bestFit="1" customWidth="1"/>
    <col min="7" max="7" width="7.88671875" bestFit="1" customWidth="1"/>
    <col min="8" max="8" width="9.33203125" bestFit="1" customWidth="1"/>
  </cols>
  <sheetData>
    <row r="1" spans="1:8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ED27-BB51-43A5-83AE-0F60013F13B4}">
  <sheetPr codeName="Sheet5"/>
  <dimension ref="A1:F44"/>
  <sheetViews>
    <sheetView topLeftCell="A3" workbookViewId="0">
      <selection activeCell="D17" sqref="D17"/>
    </sheetView>
  </sheetViews>
  <sheetFormatPr defaultRowHeight="21" x14ac:dyDescent="0.4"/>
  <cols>
    <col min="1" max="1" width="14" style="13" bestFit="1" customWidth="1"/>
    <col min="2" max="2" width="20.5546875" style="13" bestFit="1" customWidth="1"/>
    <col min="3" max="3" width="13" style="14" bestFit="1" customWidth="1"/>
    <col min="4" max="4" width="14.109375" style="13" bestFit="1" customWidth="1"/>
    <col min="5" max="5" width="27" style="13" bestFit="1" customWidth="1"/>
    <col min="6" max="6" width="19.33203125" style="13" bestFit="1" customWidth="1"/>
    <col min="7" max="16384" width="8.88671875" style="12"/>
  </cols>
  <sheetData>
    <row r="1" spans="1:6" x14ac:dyDescent="0.4">
      <c r="A1" s="13" t="s">
        <v>18</v>
      </c>
      <c r="B1" s="13" t="s">
        <v>4</v>
      </c>
      <c r="C1" s="14" t="s">
        <v>5</v>
      </c>
      <c r="D1" s="13" t="s">
        <v>6</v>
      </c>
      <c r="E1" s="13" t="s">
        <v>24</v>
      </c>
      <c r="F1" s="13" t="s">
        <v>25</v>
      </c>
    </row>
    <row r="3" spans="1:6" x14ac:dyDescent="0.4">
      <c r="A3" s="22">
        <v>46186</v>
      </c>
      <c r="B3" s="24">
        <v>339</v>
      </c>
      <c r="C3" s="25">
        <v>160006</v>
      </c>
      <c r="D3" s="26">
        <v>137</v>
      </c>
      <c r="E3" s="27"/>
      <c r="F3" s="28"/>
    </row>
    <row r="4" spans="1:6" x14ac:dyDescent="0.4">
      <c r="A4" s="22">
        <v>46187</v>
      </c>
      <c r="B4" s="24">
        <v>339</v>
      </c>
      <c r="C4" s="25">
        <v>160513</v>
      </c>
      <c r="D4" s="26">
        <v>138</v>
      </c>
      <c r="E4" s="27">
        <f>IFERROR(B4-B3,"")</f>
        <v>0</v>
      </c>
      <c r="F4" s="29">
        <f>IFERROR(C4-C3,"")</f>
        <v>507</v>
      </c>
    </row>
    <row r="5" spans="1:6" x14ac:dyDescent="0.4">
      <c r="A5" s="22">
        <v>46192</v>
      </c>
      <c r="B5" s="24">
        <v>342</v>
      </c>
      <c r="C5" s="25">
        <v>160959</v>
      </c>
      <c r="D5" s="26">
        <v>139</v>
      </c>
      <c r="E5" s="27">
        <f>IFERROR(B5-B4,"")</f>
        <v>3</v>
      </c>
      <c r="F5" s="29">
        <f>C5-C4</f>
        <v>446</v>
      </c>
    </row>
    <row r="6" spans="1:6" x14ac:dyDescent="0.4">
      <c r="A6" s="22">
        <v>46192</v>
      </c>
      <c r="B6" s="24">
        <v>344</v>
      </c>
      <c r="C6" s="25">
        <v>160959</v>
      </c>
      <c r="D6" s="26">
        <v>140</v>
      </c>
      <c r="E6" s="27">
        <f>IFERROR(B6-B5,"")</f>
        <v>2</v>
      </c>
      <c r="F6" s="29">
        <f>C6-C5</f>
        <v>0</v>
      </c>
    </row>
    <row r="7" spans="1:6" x14ac:dyDescent="0.4">
      <c r="A7" s="22">
        <v>46199</v>
      </c>
      <c r="B7" s="24">
        <v>350</v>
      </c>
      <c r="C7" s="25">
        <v>172453</v>
      </c>
      <c r="D7" s="26">
        <v>147</v>
      </c>
      <c r="E7" s="27">
        <f>IFERROR(B7-B6,"")</f>
        <v>6</v>
      </c>
      <c r="F7" s="29">
        <f>C7-C6</f>
        <v>11494</v>
      </c>
    </row>
    <row r="8" spans="1:6" x14ac:dyDescent="0.4">
      <c r="A8" s="22">
        <v>46201</v>
      </c>
      <c r="B8" s="24">
        <v>349</v>
      </c>
      <c r="C8" s="25">
        <v>179099</v>
      </c>
      <c r="D8" s="26">
        <v>149</v>
      </c>
      <c r="E8" s="27">
        <f t="shared" ref="E8" si="0">IFERROR(B8-B7,"")</f>
        <v>-1</v>
      </c>
      <c r="F8" s="29">
        <f>C8-C7</f>
        <v>6646</v>
      </c>
    </row>
    <row r="9" spans="1:6" x14ac:dyDescent="0.4">
      <c r="A9" s="22">
        <v>46203</v>
      </c>
      <c r="B9" s="24">
        <v>351</v>
      </c>
      <c r="C9" s="25">
        <v>186115</v>
      </c>
      <c r="D9" s="26">
        <v>151</v>
      </c>
      <c r="E9" s="27">
        <v>2</v>
      </c>
      <c r="F9" s="29">
        <v>7016</v>
      </c>
    </row>
    <row r="10" spans="1:6" x14ac:dyDescent="0.4">
      <c r="A10" s="22">
        <v>46205</v>
      </c>
      <c r="B10" s="24">
        <v>355</v>
      </c>
      <c r="C10" s="25">
        <v>190211</v>
      </c>
      <c r="D10" s="26">
        <v>153</v>
      </c>
      <c r="E10" s="27">
        <v>4</v>
      </c>
      <c r="F10" s="28">
        <v>4096</v>
      </c>
    </row>
    <row r="11" spans="1:6" x14ac:dyDescent="0.4">
      <c r="A11" s="22">
        <v>46206</v>
      </c>
      <c r="B11" s="24">
        <v>355</v>
      </c>
      <c r="C11" s="25">
        <v>190980</v>
      </c>
      <c r="D11" s="26">
        <v>154</v>
      </c>
      <c r="E11" s="27">
        <v>0</v>
      </c>
      <c r="F11" s="28">
        <v>769</v>
      </c>
    </row>
    <row r="12" spans="1:6" x14ac:dyDescent="0.4">
      <c r="A12" s="22">
        <v>46209</v>
      </c>
      <c r="B12" s="24">
        <v>360</v>
      </c>
      <c r="C12" s="25">
        <v>204672</v>
      </c>
      <c r="D12" s="26">
        <v>158</v>
      </c>
      <c r="E12" s="27">
        <v>5</v>
      </c>
      <c r="F12" s="28">
        <v>13692</v>
      </c>
    </row>
    <row r="13" spans="1:6" x14ac:dyDescent="0.4">
      <c r="A13" s="22">
        <v>46215</v>
      </c>
      <c r="B13" s="24">
        <v>363</v>
      </c>
      <c r="C13" s="25">
        <v>241947</v>
      </c>
      <c r="D13" s="26">
        <v>165</v>
      </c>
      <c r="E13" s="27">
        <v>3</v>
      </c>
      <c r="F13" s="28">
        <v>37275</v>
      </c>
    </row>
    <row r="14" spans="1:6" x14ac:dyDescent="0.4">
      <c r="A14" s="22">
        <v>46219</v>
      </c>
      <c r="B14" s="24">
        <v>375</v>
      </c>
      <c r="C14" s="25">
        <v>253710</v>
      </c>
      <c r="D14" s="26">
        <v>169</v>
      </c>
      <c r="E14" s="27">
        <v>12</v>
      </c>
      <c r="F14" s="28">
        <v>11763</v>
      </c>
    </row>
    <row r="15" spans="1:6" x14ac:dyDescent="0.4">
      <c r="A15" s="22">
        <v>46241</v>
      </c>
      <c r="B15" s="24">
        <v>387</v>
      </c>
      <c r="C15" s="25">
        <v>272449</v>
      </c>
      <c r="D15" s="26">
        <v>184</v>
      </c>
      <c r="E15" s="27">
        <v>12</v>
      </c>
      <c r="F15" s="28">
        <v>18739</v>
      </c>
    </row>
    <row r="16" spans="1:6" x14ac:dyDescent="0.4">
      <c r="A16" s="22">
        <v>46243</v>
      </c>
      <c r="B16" s="24">
        <v>386</v>
      </c>
      <c r="C16" s="25">
        <v>272809</v>
      </c>
      <c r="D16" s="26">
        <v>184</v>
      </c>
      <c r="E16" s="27">
        <v>-1</v>
      </c>
      <c r="F16" s="28">
        <v>360</v>
      </c>
    </row>
    <row r="17" spans="1:6" x14ac:dyDescent="0.4">
      <c r="A17" s="22">
        <v>46277</v>
      </c>
      <c r="B17" s="24">
        <v>391</v>
      </c>
      <c r="C17" s="25">
        <v>273428</v>
      </c>
      <c r="D17" s="26">
        <v>182</v>
      </c>
      <c r="E17" s="27">
        <v>5</v>
      </c>
      <c r="F17" s="28">
        <v>619</v>
      </c>
    </row>
    <row r="18" spans="1:6" x14ac:dyDescent="0.4">
      <c r="A18" s="22">
        <v>46296</v>
      </c>
      <c r="B18" s="24">
        <v>419</v>
      </c>
      <c r="C18" s="25">
        <v>282847</v>
      </c>
      <c r="D18" s="26">
        <v>193</v>
      </c>
      <c r="E18" s="27">
        <v>28</v>
      </c>
      <c r="F18" s="28">
        <v>9419</v>
      </c>
    </row>
    <row r="19" spans="1:6" x14ac:dyDescent="0.4">
      <c r="A19" s="23"/>
      <c r="B19" s="24"/>
      <c r="C19" s="25"/>
      <c r="D19" s="26"/>
      <c r="E19" s="27"/>
      <c r="F19" s="28"/>
    </row>
    <row r="20" spans="1:6" x14ac:dyDescent="0.4">
      <c r="A20" s="23"/>
      <c r="B20" s="24"/>
      <c r="C20" s="25"/>
      <c r="D20" s="26"/>
      <c r="E20" s="27"/>
      <c r="F20" s="28"/>
    </row>
    <row r="21" spans="1:6" x14ac:dyDescent="0.4">
      <c r="A21" s="23"/>
      <c r="B21" s="24"/>
      <c r="C21" s="25"/>
      <c r="D21" s="26"/>
      <c r="E21" s="27"/>
      <c r="F21" s="28"/>
    </row>
    <row r="22" spans="1:6" x14ac:dyDescent="0.4">
      <c r="A22" s="23"/>
      <c r="B22" s="24"/>
      <c r="C22" s="25"/>
      <c r="D22" s="26"/>
      <c r="E22" s="27"/>
      <c r="F22" s="28"/>
    </row>
    <row r="23" spans="1:6" x14ac:dyDescent="0.4">
      <c r="A23" s="23"/>
      <c r="B23" s="24"/>
      <c r="C23" s="25"/>
      <c r="D23" s="26"/>
      <c r="E23" s="27"/>
      <c r="F23" s="28"/>
    </row>
    <row r="24" spans="1:6" x14ac:dyDescent="0.4">
      <c r="A24" s="23"/>
      <c r="B24" s="24"/>
      <c r="C24" s="25"/>
      <c r="D24" s="26"/>
      <c r="E24" s="27"/>
      <c r="F24" s="28"/>
    </row>
    <row r="25" spans="1:6" x14ac:dyDescent="0.4">
      <c r="A25" s="23"/>
      <c r="B25" s="24"/>
      <c r="C25" s="25"/>
      <c r="D25" s="26"/>
      <c r="E25" s="27"/>
      <c r="F25" s="28"/>
    </row>
    <row r="26" spans="1:6" x14ac:dyDescent="0.4">
      <c r="A26" s="23"/>
      <c r="B26" s="24"/>
      <c r="C26" s="25"/>
      <c r="D26" s="26"/>
      <c r="E26" s="27"/>
      <c r="F26" s="28"/>
    </row>
    <row r="27" spans="1:6" x14ac:dyDescent="0.4">
      <c r="A27" s="23"/>
      <c r="B27" s="24"/>
      <c r="C27" s="25"/>
      <c r="D27" s="26"/>
      <c r="E27" s="27"/>
      <c r="F27" s="28"/>
    </row>
    <row r="28" spans="1:6" x14ac:dyDescent="0.4">
      <c r="A28" s="23"/>
      <c r="B28" s="24"/>
      <c r="C28" s="25"/>
      <c r="D28" s="26"/>
      <c r="E28" s="27"/>
      <c r="F28" s="28"/>
    </row>
    <row r="29" spans="1:6" x14ac:dyDescent="0.4">
      <c r="A29" s="23"/>
      <c r="B29" s="24"/>
      <c r="C29" s="25"/>
      <c r="D29" s="26"/>
      <c r="E29" s="27"/>
      <c r="F29" s="28"/>
    </row>
    <row r="30" spans="1:6" x14ac:dyDescent="0.4">
      <c r="A30" s="23"/>
      <c r="B30" s="24"/>
      <c r="C30" s="25"/>
      <c r="D30" s="26"/>
      <c r="E30" s="27"/>
      <c r="F30" s="28"/>
    </row>
    <row r="31" spans="1:6" x14ac:dyDescent="0.4">
      <c r="A31" s="23"/>
      <c r="B31" s="24"/>
      <c r="C31" s="25"/>
      <c r="D31" s="26"/>
      <c r="E31" s="27"/>
      <c r="F31" s="28"/>
    </row>
    <row r="32" spans="1:6" x14ac:dyDescent="0.4">
      <c r="A32" s="23"/>
      <c r="B32" s="24"/>
      <c r="C32" s="25"/>
      <c r="D32" s="26"/>
      <c r="E32" s="27"/>
      <c r="F32" s="28"/>
    </row>
    <row r="33" spans="1:6" x14ac:dyDescent="0.4">
      <c r="A33" s="23"/>
      <c r="B33" s="24"/>
      <c r="C33" s="25"/>
      <c r="D33" s="26"/>
      <c r="E33" s="27"/>
      <c r="F33" s="28"/>
    </row>
    <row r="34" spans="1:6" x14ac:dyDescent="0.4">
      <c r="A34" s="23"/>
      <c r="B34" s="24"/>
      <c r="C34" s="25"/>
      <c r="D34" s="26"/>
      <c r="E34" s="27"/>
      <c r="F34" s="28"/>
    </row>
    <row r="35" spans="1:6" x14ac:dyDescent="0.4">
      <c r="A35" s="23"/>
      <c r="B35" s="24"/>
      <c r="C35" s="25"/>
      <c r="D35" s="26"/>
      <c r="E35" s="27"/>
      <c r="F35" s="28"/>
    </row>
    <row r="36" spans="1:6" x14ac:dyDescent="0.4">
      <c r="A36" s="23"/>
      <c r="B36" s="24"/>
      <c r="C36" s="25"/>
      <c r="D36" s="26"/>
      <c r="E36" s="27"/>
      <c r="F36" s="28"/>
    </row>
    <row r="37" spans="1:6" x14ac:dyDescent="0.4">
      <c r="A37" s="23"/>
      <c r="B37" s="24"/>
      <c r="C37" s="25"/>
      <c r="D37" s="26"/>
      <c r="E37" s="27"/>
      <c r="F37" s="28"/>
    </row>
    <row r="38" spans="1:6" x14ac:dyDescent="0.4">
      <c r="A38" s="23"/>
      <c r="B38" s="24"/>
      <c r="C38" s="25"/>
      <c r="D38" s="26"/>
      <c r="E38" s="27"/>
      <c r="F38" s="28"/>
    </row>
    <row r="39" spans="1:6" x14ac:dyDescent="0.4">
      <c r="A39" s="23"/>
      <c r="B39" s="24"/>
      <c r="C39" s="25"/>
      <c r="D39" s="26"/>
      <c r="E39" s="27"/>
      <c r="F39" s="28"/>
    </row>
    <row r="40" spans="1:6" x14ac:dyDescent="0.4">
      <c r="A40" s="23"/>
      <c r="B40" s="24"/>
      <c r="C40" s="25"/>
      <c r="D40" s="26"/>
      <c r="E40" s="27"/>
      <c r="F40" s="28"/>
    </row>
    <row r="41" spans="1:6" x14ac:dyDescent="0.4">
      <c r="A41" s="23"/>
      <c r="B41" s="24"/>
      <c r="C41" s="25"/>
      <c r="D41" s="26"/>
      <c r="E41" s="27"/>
      <c r="F41" s="28"/>
    </row>
    <row r="42" spans="1:6" x14ac:dyDescent="0.4">
      <c r="A42" s="23"/>
      <c r="B42" s="24"/>
      <c r="C42" s="25"/>
      <c r="D42" s="26"/>
      <c r="E42" s="27"/>
      <c r="F42" s="28"/>
    </row>
    <row r="43" spans="1:6" x14ac:dyDescent="0.4">
      <c r="A43" s="23"/>
      <c r="B43" s="24"/>
      <c r="C43" s="25"/>
      <c r="D43" s="26"/>
      <c r="E43" s="27"/>
      <c r="F43" s="28"/>
    </row>
    <row r="44" spans="1:6" x14ac:dyDescent="0.4">
      <c r="A44" s="23"/>
      <c r="B44" s="24"/>
      <c r="C44" s="25"/>
      <c r="D44" s="26"/>
      <c r="E44" s="27"/>
      <c r="F44" s="2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DEC2-9EA8-4483-97DD-EDB86A22DB97}">
  <sheetPr codeName="Sheet6"/>
  <dimension ref="A1:B3"/>
  <sheetViews>
    <sheetView workbookViewId="0">
      <selection activeCell="B7" sqref="B7"/>
    </sheetView>
  </sheetViews>
  <sheetFormatPr defaultRowHeight="21" x14ac:dyDescent="0.4"/>
  <cols>
    <col min="1" max="1" width="16.109375" style="7" bestFit="1" customWidth="1"/>
    <col min="2" max="2" width="59.77734375" style="7" bestFit="1" customWidth="1"/>
    <col min="3" max="16384" width="8.88671875" style="7"/>
  </cols>
  <sheetData>
    <row r="1" spans="1:2" x14ac:dyDescent="0.4">
      <c r="A1" s="30" t="s">
        <v>0</v>
      </c>
      <c r="B1" s="31" t="s">
        <v>8</v>
      </c>
    </row>
    <row r="2" spans="1:2" x14ac:dyDescent="0.4">
      <c r="A2" s="30" t="s">
        <v>1</v>
      </c>
      <c r="B2" s="32" t="s">
        <v>3</v>
      </c>
    </row>
    <row r="3" spans="1:2" x14ac:dyDescent="0.4">
      <c r="A3" s="30" t="s">
        <v>2</v>
      </c>
      <c r="B3" s="33">
        <v>46296.869050925925</v>
      </c>
    </row>
  </sheetData>
  <hyperlinks>
    <hyperlink ref="B1" r:id="rId1" display="https://www.youtube.com/channel/UCkX5gDlGK4cx-JX9NLXN0Xw" xr:uid="{0017EC01-35FB-458B-BB80-1A509BD8A9B5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7F9A30-D1AD-4545-8E58-6A8790EFC9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API_DATA</vt:lpstr>
      <vt:lpstr>Channel_Data</vt:lpstr>
      <vt:lpstr>Video_Data</vt:lpstr>
      <vt:lpstr>Growth_data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Singh</dc:creator>
  <cp:lastModifiedBy>Nikhil Singh</cp:lastModifiedBy>
  <dcterms:created xsi:type="dcterms:W3CDTF">2026-06-11T05:02:02Z</dcterms:created>
  <dcterms:modified xsi:type="dcterms:W3CDTF">2026-10-01T15:22:47Z</dcterms:modified>
</cp:coreProperties>
</file>